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lareStone\AppData\Local\Software Alliance\Mo.net 7.7\Mo.net Model Development Studio\Repositories\SampleProject\SampleProject\Tables\"/>
    </mc:Choice>
  </mc:AlternateContent>
  <xr:revisionPtr revIDLastSave="0" documentId="13_ncr:1_{953961C5-03A0-46BF-AB98-486AF6170039}" xr6:coauthVersionLast="47" xr6:coauthVersionMax="47" xr10:uidLastSave="{00000000-0000-0000-0000-000000000000}"/>
  <bookViews>
    <workbookView xWindow="5430" yWindow="1725" windowWidth="21600" windowHeight="11295" activeTab="2" xr2:uid="{A44CB363-9B82-41C6-94D8-8D8CE7D3A980}"/>
  </bookViews>
  <sheets>
    <sheet name="Documentation" sheetId="2" r:id="rId1"/>
    <sheet name="Input &gt;&gt;" sheetId="7" r:id="rId2"/>
    <sheet name="PolicyData" sheetId="1" r:id="rId3"/>
    <sheet name="Parameters &gt;&gt;" sheetId="8" r:id="rId4"/>
    <sheet name="Mort" sheetId="3" r:id="rId5"/>
    <sheet name="MortBasis" sheetId="12" r:id="rId6"/>
    <sheet name="MortLoading" sheetId="10" r:id="rId7"/>
    <sheet name="IntRate" sheetId="6" r:id="rId8"/>
  </sheets>
  <definedNames>
    <definedName name="IntRate">IntRate!$A$1:$B$26</definedName>
    <definedName name="Lapse">#REF!</definedName>
    <definedName name="MortBasis">MortBasis!$A$1:$B$3</definedName>
    <definedName name="MortFemale">Mort!$C$1:$D$103</definedName>
    <definedName name="MortLoading">MortLoading!$A$1:$C$5</definedName>
    <definedName name="MortMale">Mort!$A$1:$B$103</definedName>
    <definedName name="MortStress10p">#REF!</definedName>
    <definedName name="MortStress20p">#REF!</definedName>
    <definedName name="MortStressTable">#REF!</definedName>
    <definedName name="Poldata1">PolicyData!$A$13:$I$15</definedName>
    <definedName name="PolicyData">PolicyData!$A$1:$I$9</definedName>
    <definedName name="PolicyData_Correct">PolicyData!$A$19:$I$27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C4" i="10"/>
  <c r="C3" i="10"/>
  <c r="C2" i="10"/>
</calcChain>
</file>

<file path=xl/sharedStrings.xml><?xml version="1.0" encoding="utf-8"?>
<sst xmlns="http://schemas.openxmlformats.org/spreadsheetml/2006/main" count="149" uniqueCount="51">
  <si>
    <t>UniqueID</t>
  </si>
  <si>
    <t>StartDate</t>
  </si>
  <si>
    <t>Term</t>
  </si>
  <si>
    <t>TERM_NC_1</t>
  </si>
  <si>
    <t>M</t>
  </si>
  <si>
    <t>TERM_NC_3</t>
  </si>
  <si>
    <t>TERM_NC_4</t>
  </si>
  <si>
    <t>F</t>
  </si>
  <si>
    <t>TERM_NC_5</t>
  </si>
  <si>
    <t>Year</t>
  </si>
  <si>
    <t>IntRate</t>
  </si>
  <si>
    <t>Age</t>
  </si>
  <si>
    <t>Sex</t>
  </si>
  <si>
    <t>Prem</t>
  </si>
  <si>
    <t>SumAssured</t>
  </si>
  <si>
    <t>WhiteCollar</t>
  </si>
  <si>
    <t>BlueCollar</t>
  </si>
  <si>
    <t>Y</t>
  </si>
  <si>
    <t>N</t>
  </si>
  <si>
    <t>OccupationClass</t>
  </si>
  <si>
    <t>SmokerStatus</t>
  </si>
  <si>
    <t>Loading</t>
  </si>
  <si>
    <t>OccLoading</t>
  </si>
  <si>
    <t>SmokerLoading</t>
  </si>
  <si>
    <t>TERM_NC_7</t>
  </si>
  <si>
    <t>TERM_NC_8</t>
  </si>
  <si>
    <t>TERM_NC_2</t>
  </si>
  <si>
    <t>Mort</t>
  </si>
  <si>
    <t>MortMale</t>
  </si>
  <si>
    <t>MortFemale</t>
  </si>
  <si>
    <t>MortBasis</t>
  </si>
  <si>
    <t>Data contains in this workbook:</t>
  </si>
  <si>
    <t>Section</t>
  </si>
  <si>
    <t>Tab</t>
  </si>
  <si>
    <t>Table Name</t>
  </si>
  <si>
    <t>Description</t>
  </si>
  <si>
    <t>Input</t>
  </si>
  <si>
    <t>Parameters</t>
  </si>
  <si>
    <t>PolicyData</t>
  </si>
  <si>
    <t>Input table containing data by policy</t>
  </si>
  <si>
    <t>MortMale, MortFemale</t>
  </si>
  <si>
    <t>Mortality table of male and female</t>
  </si>
  <si>
    <t>Loading table for applying to mortality rate</t>
  </si>
  <si>
    <t>MortLoading</t>
  </si>
  <si>
    <t>Interest rate table</t>
  </si>
  <si>
    <t>Sample Project Data</t>
  </si>
  <si>
    <t>Purpose:  This document contains data supporting the Sample project for Model Development with Mo.net training</t>
  </si>
  <si>
    <t>- BLANK PAGE -</t>
  </si>
  <si>
    <t>Basis table selecting mortality table according to sex input</t>
  </si>
  <si>
    <t>mortTable</t>
  </si>
  <si>
    <t>TERM_NC_6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</si>
</sst>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5" formatCode="_-* #,##0_-;\-* #,##0_-;_-* &quot;-&quot;??_-;_-@_-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2">
    <xf numFmtId="0" fontId="0" fillId="0" borderId="0" xfId="0"/>
    <xf numFmtId="14" fontId="1" fillId="0" borderId="0" xfId="0" applyNumberFormat="1" applyFont="1"/>
    <xf numFmtId="43" fontId="1" fillId="0" borderId="0" xfId="1" applyFont="1" applyFill="1" applyBorder="1"/>
    <xf numFmtId="0" fontId="1" fillId="0" borderId="0" xfId="0" applyFont="1"/>
    <xf numFmtId="165" fontId="1" fillId="0" borderId="0" xfId="1" applyNumberFormat="1" applyFont="1" applyFill="1" applyBorder="1"/>
    <xf numFmtId="43" fontId="0" fillId="0" borderId="0" xfId="0" applyNumberFormat="1"/>
    <xf numFmtId="0" fontId="0" fillId="0" borderId="1" xfId="0" applyBorder="1"/>
    <xf numFmtId="43" fontId="2" fillId="0" borderId="0" xfId="1" applyFont="1" applyFill="1" applyBorder="1"/>
    <xf numFmtId="10" fontId="0" fillId="0" borderId="1" xfId="0" applyNumberFormat="1" applyBorder="1"/>
    <xf numFmtId="1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14" fontId="1" fillId="0" borderId="1" xfId="0" applyNumberFormat="1" applyFont="1" applyBorder="1"/>
    <xf numFmtId="43" fontId="1" fillId="0" borderId="1" xfId="1" applyFont="1" applyFill="1" applyBorder="1"/>
    <xf numFmtId="0" fontId="1" fillId="0" borderId="1" xfId="0" applyFont="1" applyBorder="1"/>
    <xf numFmtId="43" fontId="0" fillId="0" borderId="1" xfId="0" applyNumberFormat="1" applyBorder="1"/>
    <xf numFmtId="165" fontId="1" fillId="0" borderId="1" xfId="1" applyNumberFormat="1" applyFont="1" applyFill="1" applyBorder="1"/>
    <xf numFmtId="9" fontId="0" fillId="0" borderId="0" xfId="0" applyNumberFormat="1"/>
    <xf numFmtId="43" fontId="2" fillId="0" borderId="1" xfId="1" applyFont="1" applyFill="1" applyBorder="1"/>
    <xf numFmtId="166" fontId="0" fillId="0" borderId="1" xfId="0" applyNumberFormat="1" applyBorder="1"/>
    <xf numFmtId="0" fontId="5" fillId="0" borderId="0" xfId="0" applyFont="1"/>
    <xf numFmtId="0" fontId="4" fillId="0" borderId="1" xfId="0" applyFont="1" applyBorder="1"/>
    <xf numFmtId="0" fontId="0" fillId="0" borderId="1" xfId="0" applyBorder="1" applyAlignment="1">
      <alignment vertical="top"/>
    </xf>
    <xf numFmtId="0" fontId="0" fillId="0" borderId="3" xfId="0" applyBorder="1" applyAlignment="1">
      <alignment horizontal="left" vertical="top"/>
    </xf>
    <xf numFmtId="0" fontId="6" fillId="0" borderId="0" xfId="0" quotePrefix="1" applyFont="1"/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43" fontId="7" fillId="0" borderId="1" xfId="1" applyFont="1" applyFill="1" applyBorder="1"/>
  </cellXfs>
  <cellStyles count="3">
    <cellStyle name="Comma" xfId="1" builtinId="3"/>
    <cellStyle name="Normal" xfId="0" builtinId="0"/>
    <cellStyle name="Normal 2" xfId="2" xr:uid="{17C26EF2-7DD7-4EB7-A790-6CED0295DB55}"/>
  </cellStyles>
  <dxfs count="0"/>
  <tableStyles count="0" defaultTableStyle="TableStyleMedium2" defaultPivotStyle="PivotStyleLight16"/>
  <colors>
    <mruColors>
      <color rgb="FF00202E"/>
      <color rgb="FF1195C6"/>
      <color rgb="FF6A62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8C8F-9330-4E4E-B9B4-44E2E4B59567}">
  <sheetPr codeName="Sheet1">
    <tabColor rgb="FF00202E"/>
  </sheetPr>
  <dimension ref="B2:E13"/>
  <sheetViews>
    <sheetView showGridLines="0" workbookViewId="0">
      <selection activeCell="G19" sqref="G19"/>
    </sheetView>
  </sheetViews>
  <sheetFormatPr defaultRowHeight="15" x14ac:dyDescent="0.25"/>
  <cols>
    <col min="2" max="2" width="13.28515625" customWidth="1"/>
    <col min="3" max="3" width="22.140625" customWidth="1"/>
    <col min="4" max="4" width="21.5703125" customWidth="1"/>
    <col min="5" max="5" width="54.140625" customWidth="1"/>
  </cols>
  <sheetData>
    <row r="2" spans="2:5" ht="23.25" x14ac:dyDescent="0.35">
      <c r="B2" s="23" t="s">
        <v>45</v>
      </c>
    </row>
    <row r="4" spans="2:5" x14ac:dyDescent="0.25">
      <c r="B4" t="s">
        <v>46</v>
      </c>
    </row>
    <row r="6" spans="2:5" x14ac:dyDescent="0.25">
      <c r="B6" t="s">
        <v>31</v>
      </c>
    </row>
    <row r="7" spans="2:5" ht="7.5" customHeight="1" x14ac:dyDescent="0.25"/>
    <row r="8" spans="2:5" x14ac:dyDescent="0.25">
      <c r="B8" s="24" t="s">
        <v>32</v>
      </c>
      <c r="C8" s="24" t="s">
        <v>33</v>
      </c>
      <c r="D8" s="24" t="s">
        <v>34</v>
      </c>
      <c r="E8" s="24" t="s">
        <v>35</v>
      </c>
    </row>
    <row r="9" spans="2:5" x14ac:dyDescent="0.25">
      <c r="B9" s="26" t="s">
        <v>36</v>
      </c>
      <c r="C9" s="6" t="s">
        <v>38</v>
      </c>
      <c r="D9" s="6" t="s">
        <v>38</v>
      </c>
      <c r="E9" s="6" t="s">
        <v>39</v>
      </c>
    </row>
    <row r="10" spans="2:5" x14ac:dyDescent="0.25">
      <c r="B10" s="28" t="s">
        <v>37</v>
      </c>
      <c r="C10" s="6" t="s">
        <v>27</v>
      </c>
      <c r="D10" s="6" t="s">
        <v>40</v>
      </c>
      <c r="E10" s="6" t="s">
        <v>41</v>
      </c>
    </row>
    <row r="11" spans="2:5" x14ac:dyDescent="0.25">
      <c r="B11" s="29"/>
      <c r="C11" s="6" t="s">
        <v>30</v>
      </c>
      <c r="D11" s="6" t="s">
        <v>30</v>
      </c>
      <c r="E11" s="6" t="s">
        <v>48</v>
      </c>
    </row>
    <row r="12" spans="2:5" x14ac:dyDescent="0.25">
      <c r="B12" s="29"/>
      <c r="C12" s="6" t="s">
        <v>43</v>
      </c>
      <c r="D12" s="6" t="s">
        <v>43</v>
      </c>
      <c r="E12" s="6" t="s">
        <v>42</v>
      </c>
    </row>
    <row r="13" spans="2:5" x14ac:dyDescent="0.25">
      <c r="B13" s="30"/>
      <c r="C13" s="25" t="s">
        <v>10</v>
      </c>
      <c r="D13" s="25" t="s">
        <v>10</v>
      </c>
      <c r="E13" s="25" t="s">
        <v>44</v>
      </c>
    </row>
  </sheetData>
  <mergeCells count="1">
    <mergeCell ref="B10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BE88-7085-41CF-91DE-B5491F44A32A}">
  <sheetPr codeName="Sheet2">
    <tabColor rgb="FF1195C6"/>
  </sheetPr>
  <dimension ref="B2"/>
  <sheetViews>
    <sheetView showGridLines="0" workbookViewId="0">
      <selection activeCell="C27" sqref="C27"/>
    </sheetView>
  </sheetViews>
  <sheetFormatPr defaultRowHeight="15" x14ac:dyDescent="0.25"/>
  <sheetData>
    <row r="2" spans="2:2" ht="18.75" x14ac:dyDescent="0.3">
      <c r="B2" s="27" t="s">
        <v>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090C-1689-461A-BF67-BCD3FCB16891}">
  <sheetPr codeName="Sheet3"/>
  <dimension ref="A1:K27"/>
  <sheetViews>
    <sheetView tabSelected="1" topLeftCell="A7" workbookViewId="0">
      <selection activeCell="A19" sqref="A19:I27"/>
    </sheetView>
  </sheetViews>
  <sheetFormatPr defaultRowHeight="15" x14ac:dyDescent="0.25"/>
  <cols>
    <col min="1" max="1" width="12.42578125" bestFit="1" customWidth="1"/>
    <col min="2" max="2" width="10.7109375" bestFit="1" customWidth="1"/>
    <col min="3" max="4" width="7" bestFit="1" customWidth="1"/>
    <col min="5" max="5" width="5.140625" bestFit="1" customWidth="1"/>
    <col min="6" max="6" width="15.5703125" bestFit="1" customWidth="1"/>
    <col min="7" max="7" width="13.5703125" bestFit="1" customWidth="1"/>
    <col min="8" max="8" width="10.5703125" bestFit="1" customWidth="1"/>
    <col min="9" max="9" width="13.5703125" bestFit="1" customWidth="1"/>
  </cols>
  <sheetData>
    <row r="1" spans="1:11" x14ac:dyDescent="0.25">
      <c r="A1" s="9" t="s">
        <v>0</v>
      </c>
      <c r="B1" s="10" t="s">
        <v>1</v>
      </c>
      <c r="C1" s="9" t="s">
        <v>2</v>
      </c>
      <c r="D1" s="12" t="s">
        <v>11</v>
      </c>
      <c r="E1" s="11" t="s">
        <v>12</v>
      </c>
      <c r="F1" s="6" t="s">
        <v>19</v>
      </c>
      <c r="G1" s="6" t="s">
        <v>20</v>
      </c>
      <c r="H1" s="13" t="s">
        <v>13</v>
      </c>
      <c r="I1" s="14" t="s">
        <v>14</v>
      </c>
    </row>
    <row r="2" spans="1:11" x14ac:dyDescent="0.25">
      <c r="A2" s="6" t="s">
        <v>3</v>
      </c>
      <c r="B2" s="15">
        <v>42675</v>
      </c>
      <c r="C2" s="16">
        <v>20</v>
      </c>
      <c r="D2" s="16">
        <v>30</v>
      </c>
      <c r="E2" s="17" t="s">
        <v>4</v>
      </c>
      <c r="F2" s="6" t="s">
        <v>15</v>
      </c>
      <c r="G2" s="6" t="s">
        <v>17</v>
      </c>
      <c r="H2" s="18">
        <v>1700</v>
      </c>
      <c r="I2" s="19">
        <v>100000</v>
      </c>
      <c r="J2" s="5"/>
      <c r="K2" s="5"/>
    </row>
    <row r="3" spans="1:11" x14ac:dyDescent="0.25">
      <c r="A3" s="6" t="s">
        <v>26</v>
      </c>
      <c r="B3" s="15">
        <v>40179</v>
      </c>
      <c r="C3" s="21">
        <v>80</v>
      </c>
      <c r="D3" s="16">
        <v>50</v>
      </c>
      <c r="E3" s="17" t="s">
        <v>7</v>
      </c>
      <c r="F3" s="6" t="s">
        <v>15</v>
      </c>
      <c r="G3" s="6" t="s">
        <v>18</v>
      </c>
      <c r="H3" s="18">
        <v>5000</v>
      </c>
      <c r="I3" s="19">
        <v>100000</v>
      </c>
      <c r="J3" s="5"/>
      <c r="K3" s="5"/>
    </row>
    <row r="4" spans="1:11" x14ac:dyDescent="0.25">
      <c r="A4" s="6" t="s">
        <v>5</v>
      </c>
      <c r="B4" s="15">
        <v>40695</v>
      </c>
      <c r="C4" s="16">
        <v>25</v>
      </c>
      <c r="D4" s="16">
        <v>50</v>
      </c>
      <c r="E4" s="17" t="s">
        <v>4</v>
      </c>
      <c r="F4" s="6" t="s">
        <v>15</v>
      </c>
      <c r="G4" s="6" t="s">
        <v>18</v>
      </c>
      <c r="H4" s="18">
        <v>8000</v>
      </c>
      <c r="I4" s="19">
        <v>500000</v>
      </c>
      <c r="J4" s="5"/>
      <c r="K4" s="5"/>
    </row>
    <row r="5" spans="1:11" x14ac:dyDescent="0.25">
      <c r="A5" s="6" t="s">
        <v>6</v>
      </c>
      <c r="B5" s="15">
        <v>39232</v>
      </c>
      <c r="C5" s="16">
        <v>20</v>
      </c>
      <c r="D5" s="16">
        <v>60</v>
      </c>
      <c r="E5" s="17" t="s">
        <v>7</v>
      </c>
      <c r="F5" s="6" t="s">
        <v>15</v>
      </c>
      <c r="G5" s="6" t="s">
        <v>18</v>
      </c>
      <c r="H5" s="18">
        <v>2000</v>
      </c>
      <c r="I5" s="19">
        <v>100000</v>
      </c>
      <c r="J5" s="5"/>
      <c r="K5" s="5"/>
    </row>
    <row r="6" spans="1:11" x14ac:dyDescent="0.25">
      <c r="A6" s="6" t="s">
        <v>8</v>
      </c>
      <c r="B6" s="15">
        <v>40909</v>
      </c>
      <c r="C6" s="16">
        <v>20</v>
      </c>
      <c r="D6" s="16">
        <v>50.5</v>
      </c>
      <c r="E6" s="17" t="s">
        <v>7</v>
      </c>
      <c r="F6" s="6" t="s">
        <v>15</v>
      </c>
      <c r="G6" s="6" t="s">
        <v>17</v>
      </c>
      <c r="H6" s="18">
        <v>3900</v>
      </c>
      <c r="I6" s="19">
        <v>250000</v>
      </c>
      <c r="J6" s="5"/>
      <c r="K6" s="5"/>
    </row>
    <row r="7" spans="1:11" x14ac:dyDescent="0.25">
      <c r="A7" s="6"/>
      <c r="B7" s="15">
        <v>42719</v>
      </c>
      <c r="C7" s="16">
        <v>25</v>
      </c>
      <c r="D7" s="16">
        <v>40</v>
      </c>
      <c r="E7" s="17" t="s">
        <v>4</v>
      </c>
      <c r="F7" s="6" t="s">
        <v>16</v>
      </c>
      <c r="G7" s="6" t="s">
        <v>18</v>
      </c>
      <c r="H7" s="18">
        <v>4300</v>
      </c>
      <c r="I7" s="19">
        <v>250000</v>
      </c>
      <c r="J7" s="5"/>
      <c r="K7" s="5"/>
    </row>
    <row r="8" spans="1:11" x14ac:dyDescent="0.25">
      <c r="A8" s="6" t="s">
        <v>24</v>
      </c>
      <c r="B8" s="15">
        <v>39083</v>
      </c>
      <c r="C8" s="16">
        <v>25</v>
      </c>
      <c r="D8" s="16">
        <v>50.25</v>
      </c>
      <c r="E8" s="17" t="s">
        <v>7</v>
      </c>
      <c r="F8" s="6" t="s">
        <v>16</v>
      </c>
      <c r="G8" s="6" t="s">
        <v>18</v>
      </c>
      <c r="H8" s="18">
        <v>7800</v>
      </c>
      <c r="I8" s="19">
        <v>500000</v>
      </c>
    </row>
    <row r="9" spans="1:11" x14ac:dyDescent="0.25">
      <c r="A9" s="6" t="s">
        <v>25</v>
      </c>
      <c r="B9" s="15">
        <v>42719</v>
      </c>
      <c r="C9" s="16">
        <v>25</v>
      </c>
      <c r="D9" s="16">
        <v>40</v>
      </c>
      <c r="E9" s="17" t="s">
        <v>4</v>
      </c>
      <c r="F9" s="6" t="s">
        <v>16</v>
      </c>
      <c r="G9" s="6" t="s">
        <v>18</v>
      </c>
      <c r="H9" s="18">
        <v>4300</v>
      </c>
      <c r="I9" s="19">
        <v>250000</v>
      </c>
    </row>
    <row r="10" spans="1:11" x14ac:dyDescent="0.25">
      <c r="B10" s="1"/>
      <c r="C10" s="2"/>
      <c r="D10" s="2"/>
      <c r="E10" s="3"/>
      <c r="F10" s="7"/>
      <c r="G10" s="4"/>
      <c r="I10" s="5"/>
    </row>
    <row r="12" spans="1:11" x14ac:dyDescent="0.25">
      <c r="B12" s="1"/>
      <c r="C12" s="2"/>
      <c r="D12" s="2"/>
      <c r="E12" s="3"/>
      <c r="F12" s="7"/>
      <c r="G12" s="4"/>
      <c r="I12" s="5"/>
    </row>
    <row r="13" spans="1:11" x14ac:dyDescent="0.25">
      <c r="A13" s="9" t="s">
        <v>0</v>
      </c>
      <c r="B13" s="10" t="s">
        <v>1</v>
      </c>
      <c r="C13" s="9" t="s">
        <v>2</v>
      </c>
      <c r="D13" s="12" t="s">
        <v>11</v>
      </c>
      <c r="E13" s="11" t="s">
        <v>12</v>
      </c>
      <c r="F13" s="6" t="s">
        <v>19</v>
      </c>
      <c r="G13" s="6" t="s">
        <v>20</v>
      </c>
      <c r="H13" s="13" t="s">
        <v>13</v>
      </c>
      <c r="I13" s="14" t="s">
        <v>14</v>
      </c>
    </row>
    <row r="14" spans="1:11" x14ac:dyDescent="0.25">
      <c r="A14" s="6" t="s">
        <v>3</v>
      </c>
      <c r="B14" s="15">
        <v>42675</v>
      </c>
      <c r="C14" s="16">
        <v>20</v>
      </c>
      <c r="D14" s="16">
        <v>30</v>
      </c>
      <c r="E14" s="17" t="s">
        <v>4</v>
      </c>
      <c r="F14" s="6" t="s">
        <v>15</v>
      </c>
      <c r="G14" s="6" t="s">
        <v>17</v>
      </c>
      <c r="H14" s="18">
        <v>1700</v>
      </c>
      <c r="I14" s="19">
        <v>100000</v>
      </c>
    </row>
    <row r="15" spans="1:11" x14ac:dyDescent="0.25">
      <c r="A15" s="6" t="s">
        <v>26</v>
      </c>
      <c r="B15" s="15">
        <v>40179</v>
      </c>
      <c r="C15" s="21">
        <v>80</v>
      </c>
      <c r="D15" s="16">
        <v>50</v>
      </c>
      <c r="E15" s="17" t="s">
        <v>7</v>
      </c>
      <c r="F15" s="6" t="s">
        <v>15</v>
      </c>
      <c r="G15" s="6" t="s">
        <v>18</v>
      </c>
      <c r="H15" s="18">
        <v>5000</v>
      </c>
      <c r="I15" s="19">
        <v>100000</v>
      </c>
    </row>
    <row r="19" spans="1:9" x14ac:dyDescent="0.25">
      <c r="A19" s="9" t="s">
        <v>0</v>
      </c>
      <c r="B19" s="10" t="s">
        <v>1</v>
      </c>
      <c r="C19" s="9" t="s">
        <v>2</v>
      </c>
      <c r="D19" s="12" t="s">
        <v>11</v>
      </c>
      <c r="E19" s="11" t="s">
        <v>12</v>
      </c>
      <c r="F19" s="6" t="s">
        <v>19</v>
      </c>
      <c r="G19" s="6" t="s">
        <v>20</v>
      </c>
      <c r="H19" s="13" t="s">
        <v>13</v>
      </c>
      <c r="I19" s="14" t="s">
        <v>14</v>
      </c>
    </row>
    <row r="20" spans="1:9" x14ac:dyDescent="0.25">
      <c r="A20" s="6" t="s">
        <v>3</v>
      </c>
      <c r="B20" s="15">
        <v>42675</v>
      </c>
      <c r="C20" s="16">
        <v>20</v>
      </c>
      <c r="D20" s="16">
        <v>30</v>
      </c>
      <c r="E20" s="17" t="s">
        <v>4</v>
      </c>
      <c r="F20" s="6" t="s">
        <v>15</v>
      </c>
      <c r="G20" s="6" t="s">
        <v>17</v>
      </c>
      <c r="H20" s="18">
        <v>1700</v>
      </c>
      <c r="I20" s="19">
        <v>100000</v>
      </c>
    </row>
    <row r="21" spans="1:9" x14ac:dyDescent="0.25">
      <c r="A21" s="6" t="s">
        <v>26</v>
      </c>
      <c r="B21" s="15">
        <v>40179</v>
      </c>
      <c r="C21" s="31">
        <v>20</v>
      </c>
      <c r="D21" s="16">
        <v>50</v>
      </c>
      <c r="E21" s="17" t="s">
        <v>7</v>
      </c>
      <c r="F21" s="6" t="s">
        <v>15</v>
      </c>
      <c r="G21" s="6" t="s">
        <v>18</v>
      </c>
      <c r="H21" s="18">
        <v>5000</v>
      </c>
      <c r="I21" s="19">
        <v>100000</v>
      </c>
    </row>
    <row r="22" spans="1:9" x14ac:dyDescent="0.25">
      <c r="A22" s="6" t="s">
        <v>5</v>
      </c>
      <c r="B22" s="15">
        <v>40695</v>
      </c>
      <c r="C22" s="16">
        <v>25</v>
      </c>
      <c r="D22" s="16">
        <v>50</v>
      </c>
      <c r="E22" s="17" t="s">
        <v>4</v>
      </c>
      <c r="F22" s="6" t="s">
        <v>15</v>
      </c>
      <c r="G22" s="6" t="s">
        <v>18</v>
      </c>
      <c r="H22" s="18">
        <v>8000</v>
      </c>
      <c r="I22" s="19">
        <v>500000</v>
      </c>
    </row>
    <row r="23" spans="1:9" x14ac:dyDescent="0.25">
      <c r="A23" s="6" t="s">
        <v>6</v>
      </c>
      <c r="B23" s="15">
        <v>39232</v>
      </c>
      <c r="C23" s="16">
        <v>20</v>
      </c>
      <c r="D23" s="16">
        <v>60</v>
      </c>
      <c r="E23" s="17" t="s">
        <v>7</v>
      </c>
      <c r="F23" s="6" t="s">
        <v>15</v>
      </c>
      <c r="G23" s="6" t="s">
        <v>18</v>
      </c>
      <c r="H23" s="18">
        <v>2000</v>
      </c>
      <c r="I23" s="19">
        <v>100000</v>
      </c>
    </row>
    <row r="24" spans="1:9" x14ac:dyDescent="0.25">
      <c r="A24" s="6" t="s">
        <v>8</v>
      </c>
      <c r="B24" s="15">
        <v>40909</v>
      </c>
      <c r="C24" s="16">
        <v>20</v>
      </c>
      <c r="D24" s="16">
        <v>50.5</v>
      </c>
      <c r="E24" s="17" t="s">
        <v>7</v>
      </c>
      <c r="F24" s="6" t="s">
        <v>15</v>
      </c>
      <c r="G24" s="6" t="s">
        <v>17</v>
      </c>
      <c r="H24" s="18">
        <v>3900</v>
      </c>
      <c r="I24" s="19">
        <v>250000</v>
      </c>
    </row>
    <row r="25" spans="1:9" x14ac:dyDescent="0.25">
      <c r="A25" s="6" t="s">
        <v>50</v>
      </c>
      <c r="B25" s="15">
        <v>42719</v>
      </c>
      <c r="C25" s="16">
        <v>25</v>
      </c>
      <c r="D25" s="16">
        <v>40</v>
      </c>
      <c r="E25" s="17" t="s">
        <v>4</v>
      </c>
      <c r="F25" s="6" t="s">
        <v>16</v>
      </c>
      <c r="G25" s="6" t="s">
        <v>18</v>
      </c>
      <c r="H25" s="18">
        <v>4300</v>
      </c>
      <c r="I25" s="19">
        <v>250000</v>
      </c>
    </row>
    <row r="26" spans="1:9" x14ac:dyDescent="0.25">
      <c r="A26" s="6" t="s">
        <v>24</v>
      </c>
      <c r="B26" s="15">
        <v>39083</v>
      </c>
      <c r="C26" s="16">
        <v>25</v>
      </c>
      <c r="D26" s="16">
        <v>50.25</v>
      </c>
      <c r="E26" s="17" t="s">
        <v>7</v>
      </c>
      <c r="F26" s="6" t="s">
        <v>16</v>
      </c>
      <c r="G26" s="6" t="s">
        <v>18</v>
      </c>
      <c r="H26" s="18">
        <v>7800</v>
      </c>
      <c r="I26" s="19">
        <v>500000</v>
      </c>
    </row>
    <row r="27" spans="1:9" x14ac:dyDescent="0.25">
      <c r="A27" s="6" t="s">
        <v>25</v>
      </c>
      <c r="B27" s="15">
        <v>42719</v>
      </c>
      <c r="C27" s="16">
        <v>25</v>
      </c>
      <c r="D27" s="16">
        <v>40</v>
      </c>
      <c r="E27" s="17" t="s">
        <v>4</v>
      </c>
      <c r="F27" s="6" t="s">
        <v>16</v>
      </c>
      <c r="G27" s="6" t="s">
        <v>18</v>
      </c>
      <c r="H27" s="18">
        <v>4300</v>
      </c>
      <c r="I27" s="19">
        <v>250000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A4DA-ACC1-49FE-A981-742D15ECCD8E}">
  <sheetPr codeName="Sheet4">
    <tabColor rgb="FF1195C6"/>
  </sheetPr>
  <dimension ref="B2"/>
  <sheetViews>
    <sheetView showGridLines="0" workbookViewId="0">
      <selection activeCell="D15" sqref="D15"/>
    </sheetView>
  </sheetViews>
  <sheetFormatPr defaultRowHeight="15" x14ac:dyDescent="0.25"/>
  <sheetData>
    <row r="2" spans="2:2" ht="18.75" x14ac:dyDescent="0.3">
      <c r="B2" s="2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A95B-4D39-4C7F-94B7-7F46D934404F}">
  <sheetPr codeName="Sheet5"/>
  <dimension ref="A1:D103"/>
  <sheetViews>
    <sheetView workbookViewId="0">
      <selection activeCell="D2" sqref="D2:D3"/>
    </sheetView>
  </sheetViews>
  <sheetFormatPr defaultRowHeight="15" x14ac:dyDescent="0.25"/>
  <cols>
    <col min="1" max="1" width="4.28515625" customWidth="1"/>
    <col min="2" max="2" width="9" bestFit="1" customWidth="1"/>
    <col min="3" max="3" width="4.28515625" customWidth="1"/>
    <col min="4" max="4" width="13" customWidth="1"/>
    <col min="5" max="8" width="20.7109375" customWidth="1"/>
    <col min="258" max="264" width="20.7109375" customWidth="1"/>
    <col min="514" max="520" width="20.7109375" customWidth="1"/>
    <col min="770" max="776" width="20.7109375" customWidth="1"/>
    <col min="1026" max="1032" width="20.7109375" customWidth="1"/>
    <col min="1282" max="1288" width="20.7109375" customWidth="1"/>
    <col min="1538" max="1544" width="20.7109375" customWidth="1"/>
    <col min="1794" max="1800" width="20.7109375" customWidth="1"/>
    <col min="2050" max="2056" width="20.7109375" customWidth="1"/>
    <col min="2306" max="2312" width="20.7109375" customWidth="1"/>
    <col min="2562" max="2568" width="20.7109375" customWidth="1"/>
    <col min="2818" max="2824" width="20.7109375" customWidth="1"/>
    <col min="3074" max="3080" width="20.7109375" customWidth="1"/>
    <col min="3330" max="3336" width="20.7109375" customWidth="1"/>
    <col min="3586" max="3592" width="20.7109375" customWidth="1"/>
    <col min="3842" max="3848" width="20.7109375" customWidth="1"/>
    <col min="4098" max="4104" width="20.7109375" customWidth="1"/>
    <col min="4354" max="4360" width="20.7109375" customWidth="1"/>
    <col min="4610" max="4616" width="20.7109375" customWidth="1"/>
    <col min="4866" max="4872" width="20.7109375" customWidth="1"/>
    <col min="5122" max="5128" width="20.7109375" customWidth="1"/>
    <col min="5378" max="5384" width="20.7109375" customWidth="1"/>
    <col min="5634" max="5640" width="20.7109375" customWidth="1"/>
    <col min="5890" max="5896" width="20.7109375" customWidth="1"/>
    <col min="6146" max="6152" width="20.7109375" customWidth="1"/>
    <col min="6402" max="6408" width="20.7109375" customWidth="1"/>
    <col min="6658" max="6664" width="20.7109375" customWidth="1"/>
    <col min="6914" max="6920" width="20.7109375" customWidth="1"/>
    <col min="7170" max="7176" width="20.7109375" customWidth="1"/>
    <col min="7426" max="7432" width="20.7109375" customWidth="1"/>
    <col min="7682" max="7688" width="20.7109375" customWidth="1"/>
    <col min="7938" max="7944" width="20.7109375" customWidth="1"/>
    <col min="8194" max="8200" width="20.7109375" customWidth="1"/>
    <col min="8450" max="8456" width="20.7109375" customWidth="1"/>
    <col min="8706" max="8712" width="20.7109375" customWidth="1"/>
    <col min="8962" max="8968" width="20.7109375" customWidth="1"/>
    <col min="9218" max="9224" width="20.7109375" customWidth="1"/>
    <col min="9474" max="9480" width="20.7109375" customWidth="1"/>
    <col min="9730" max="9736" width="20.7109375" customWidth="1"/>
    <col min="9986" max="9992" width="20.7109375" customWidth="1"/>
    <col min="10242" max="10248" width="20.7109375" customWidth="1"/>
    <col min="10498" max="10504" width="20.7109375" customWidth="1"/>
    <col min="10754" max="10760" width="20.7109375" customWidth="1"/>
    <col min="11010" max="11016" width="20.7109375" customWidth="1"/>
    <col min="11266" max="11272" width="20.7109375" customWidth="1"/>
    <col min="11522" max="11528" width="20.7109375" customWidth="1"/>
    <col min="11778" max="11784" width="20.7109375" customWidth="1"/>
    <col min="12034" max="12040" width="20.7109375" customWidth="1"/>
    <col min="12290" max="12296" width="20.7109375" customWidth="1"/>
    <col min="12546" max="12552" width="20.7109375" customWidth="1"/>
    <col min="12802" max="12808" width="20.7109375" customWidth="1"/>
    <col min="13058" max="13064" width="20.7109375" customWidth="1"/>
    <col min="13314" max="13320" width="20.7109375" customWidth="1"/>
    <col min="13570" max="13576" width="20.7109375" customWidth="1"/>
    <col min="13826" max="13832" width="20.7109375" customWidth="1"/>
    <col min="14082" max="14088" width="20.7109375" customWidth="1"/>
    <col min="14338" max="14344" width="20.7109375" customWidth="1"/>
    <col min="14594" max="14600" width="20.7109375" customWidth="1"/>
    <col min="14850" max="14856" width="20.7109375" customWidth="1"/>
    <col min="15106" max="15112" width="20.7109375" customWidth="1"/>
    <col min="15362" max="15368" width="20.7109375" customWidth="1"/>
    <col min="15618" max="15624" width="20.7109375" customWidth="1"/>
    <col min="15874" max="15880" width="20.7109375" customWidth="1"/>
    <col min="16130" max="16136" width="20.7109375" customWidth="1"/>
  </cols>
  <sheetData>
    <row r="1" spans="1:4" x14ac:dyDescent="0.25">
      <c r="A1" s="6" t="s">
        <v>11</v>
      </c>
      <c r="B1" s="6" t="s">
        <v>4</v>
      </c>
      <c r="C1" s="6" t="s">
        <v>11</v>
      </c>
      <c r="D1" s="6" t="s">
        <v>7</v>
      </c>
    </row>
    <row r="2" spans="1:4" x14ac:dyDescent="0.25">
      <c r="A2" s="6">
        <v>19</v>
      </c>
      <c r="B2" s="6">
        <v>5.8699999999999996E-4</v>
      </c>
      <c r="C2" s="6">
        <v>19</v>
      </c>
      <c r="D2" s="6">
        <v>1.85E-4</v>
      </c>
    </row>
    <row r="3" spans="1:4" x14ac:dyDescent="0.25">
      <c r="A3" s="6">
        <v>20</v>
      </c>
      <c r="B3" s="6">
        <v>5.8200000000000005E-4</v>
      </c>
      <c r="C3" s="6">
        <v>20</v>
      </c>
      <c r="D3" s="6">
        <v>1.93E-4</v>
      </c>
    </row>
    <row r="4" spans="1:4" x14ac:dyDescent="0.25">
      <c r="A4" s="6">
        <v>21</v>
      </c>
      <c r="B4" s="6">
        <v>5.7700000000000004E-4</v>
      </c>
      <c r="C4" s="6">
        <v>21</v>
      </c>
      <c r="D4" s="6">
        <v>2.02E-4</v>
      </c>
    </row>
    <row r="5" spans="1:4" x14ac:dyDescent="0.25">
      <c r="A5" s="6">
        <v>22</v>
      </c>
      <c r="B5" s="6">
        <v>5.7200000000000003E-4</v>
      </c>
      <c r="C5" s="6">
        <v>22</v>
      </c>
      <c r="D5" s="6">
        <v>2.12E-4</v>
      </c>
    </row>
    <row r="6" spans="1:4" x14ac:dyDescent="0.25">
      <c r="A6" s="6">
        <v>23</v>
      </c>
      <c r="B6" s="6">
        <v>5.6899999999999995E-4</v>
      </c>
      <c r="C6" s="6">
        <v>23</v>
      </c>
      <c r="D6" s="6">
        <v>2.23E-4</v>
      </c>
    </row>
    <row r="7" spans="1:4" x14ac:dyDescent="0.25">
      <c r="A7" s="6">
        <v>24</v>
      </c>
      <c r="B7" s="6">
        <v>5.6700000000000001E-4</v>
      </c>
      <c r="C7" s="6">
        <v>24</v>
      </c>
      <c r="D7" s="6">
        <v>2.3499999999999999E-4</v>
      </c>
    </row>
    <row r="8" spans="1:4" x14ac:dyDescent="0.25">
      <c r="A8" s="6">
        <v>25</v>
      </c>
      <c r="B8" s="6">
        <v>5.6599999999999999E-4</v>
      </c>
      <c r="C8" s="6">
        <v>25</v>
      </c>
      <c r="D8" s="6">
        <v>2.4800000000000001E-4</v>
      </c>
    </row>
    <row r="9" spans="1:4" x14ac:dyDescent="0.25">
      <c r="A9" s="6">
        <v>26</v>
      </c>
      <c r="B9" s="6">
        <v>5.6700000000000001E-4</v>
      </c>
      <c r="C9" s="6">
        <v>26</v>
      </c>
      <c r="D9" s="6">
        <v>2.63E-4</v>
      </c>
    </row>
    <row r="10" spans="1:4" x14ac:dyDescent="0.25">
      <c r="A10" s="6">
        <v>27</v>
      </c>
      <c r="B10" s="6">
        <v>5.6999999999999998E-4</v>
      </c>
      <c r="C10" s="6">
        <v>27</v>
      </c>
      <c r="D10" s="6">
        <v>2.7900000000000001E-4</v>
      </c>
    </row>
    <row r="11" spans="1:4" x14ac:dyDescent="0.25">
      <c r="A11" s="6">
        <v>28</v>
      </c>
      <c r="B11" s="6">
        <v>5.7399999999999997E-4</v>
      </c>
      <c r="C11" s="6">
        <v>28</v>
      </c>
      <c r="D11" s="6">
        <v>2.9700000000000001E-4</v>
      </c>
    </row>
    <row r="12" spans="1:4" x14ac:dyDescent="0.25">
      <c r="A12" s="6">
        <v>29</v>
      </c>
      <c r="B12" s="6">
        <v>5.8E-4</v>
      </c>
      <c r="C12" s="6">
        <v>29</v>
      </c>
      <c r="D12" s="6">
        <v>3.1700000000000001E-4</v>
      </c>
    </row>
    <row r="13" spans="1:4" x14ac:dyDescent="0.25">
      <c r="A13" s="6">
        <v>30</v>
      </c>
      <c r="B13" s="6">
        <v>5.9000000000000003E-4</v>
      </c>
      <c r="C13" s="6">
        <v>30</v>
      </c>
      <c r="D13" s="6">
        <v>3.39E-4</v>
      </c>
    </row>
    <row r="14" spans="1:4" x14ac:dyDescent="0.25">
      <c r="A14" s="6">
        <v>31</v>
      </c>
      <c r="B14" s="6">
        <v>6.02E-4</v>
      </c>
      <c r="C14" s="6">
        <v>31</v>
      </c>
      <c r="D14" s="6">
        <v>3.6400000000000001E-4</v>
      </c>
    </row>
    <row r="15" spans="1:4" x14ac:dyDescent="0.25">
      <c r="A15" s="6">
        <v>32</v>
      </c>
      <c r="B15" s="6">
        <v>6.1700000000000004E-4</v>
      </c>
      <c r="C15" s="6">
        <v>32</v>
      </c>
      <c r="D15" s="6">
        <v>3.9100000000000002E-4</v>
      </c>
    </row>
    <row r="16" spans="1:4" x14ac:dyDescent="0.25">
      <c r="A16" s="6">
        <v>33</v>
      </c>
      <c r="B16" s="6">
        <v>6.3599999999999996E-4</v>
      </c>
      <c r="C16" s="6">
        <v>33</v>
      </c>
      <c r="D16" s="6">
        <v>4.2200000000000001E-4</v>
      </c>
    </row>
    <row r="17" spans="1:4" x14ac:dyDescent="0.25">
      <c r="A17" s="6">
        <v>34</v>
      </c>
      <c r="B17" s="6">
        <v>6.6E-4</v>
      </c>
      <c r="C17" s="6">
        <v>34</v>
      </c>
      <c r="D17" s="6">
        <v>4.55E-4</v>
      </c>
    </row>
    <row r="18" spans="1:4" x14ac:dyDescent="0.25">
      <c r="A18" s="6">
        <v>35</v>
      </c>
      <c r="B18" s="6">
        <v>6.8900000000000005E-4</v>
      </c>
      <c r="C18" s="6">
        <v>35</v>
      </c>
      <c r="D18" s="6">
        <v>4.9200000000000003E-4</v>
      </c>
    </row>
    <row r="19" spans="1:4" x14ac:dyDescent="0.25">
      <c r="A19" s="6">
        <v>36</v>
      </c>
      <c r="B19" s="6">
        <v>7.2400000000000003E-4</v>
      </c>
      <c r="C19" s="6">
        <v>36</v>
      </c>
      <c r="D19" s="6">
        <v>5.3300000000000005E-4</v>
      </c>
    </row>
    <row r="20" spans="1:4" x14ac:dyDescent="0.25">
      <c r="A20" s="6">
        <v>37</v>
      </c>
      <c r="B20" s="6">
        <v>7.6499999999999995E-4</v>
      </c>
      <c r="C20" s="6">
        <v>37</v>
      </c>
      <c r="D20" s="6">
        <v>5.7899999999999998E-4</v>
      </c>
    </row>
    <row r="21" spans="1:4" x14ac:dyDescent="0.25">
      <c r="A21" s="6">
        <v>38</v>
      </c>
      <c r="B21" s="6">
        <v>8.1300000000000003E-4</v>
      </c>
      <c r="C21" s="6">
        <v>38</v>
      </c>
      <c r="D21" s="6">
        <v>6.29E-4</v>
      </c>
    </row>
    <row r="22" spans="1:4" x14ac:dyDescent="0.25">
      <c r="A22" s="6">
        <v>39</v>
      </c>
      <c r="B22" s="6">
        <v>8.7000000000000001E-4</v>
      </c>
      <c r="C22" s="6">
        <v>39</v>
      </c>
      <c r="D22" s="6">
        <v>6.8499999999999995E-4</v>
      </c>
    </row>
    <row r="23" spans="1:4" x14ac:dyDescent="0.25">
      <c r="A23" s="6">
        <v>40</v>
      </c>
      <c r="B23" s="6">
        <v>9.3700000000000001E-4</v>
      </c>
      <c r="C23" s="6">
        <v>40</v>
      </c>
      <c r="D23" s="6">
        <v>7.4700000000000005E-4</v>
      </c>
    </row>
    <row r="24" spans="1:4" x14ac:dyDescent="0.25">
      <c r="A24" s="6">
        <v>41</v>
      </c>
      <c r="B24" s="6">
        <v>1.0139999999999999E-3</v>
      </c>
      <c r="C24" s="6">
        <v>41</v>
      </c>
      <c r="D24" s="6">
        <v>8.1599999999999999E-4</v>
      </c>
    </row>
    <row r="25" spans="1:4" x14ac:dyDescent="0.25">
      <c r="A25" s="6">
        <v>42</v>
      </c>
      <c r="B25" s="6">
        <v>1.1039999999999999E-3</v>
      </c>
      <c r="C25" s="6">
        <v>42</v>
      </c>
      <c r="D25" s="6">
        <v>8.92E-4</v>
      </c>
    </row>
    <row r="26" spans="1:4" x14ac:dyDescent="0.25">
      <c r="A26" s="6">
        <v>43</v>
      </c>
      <c r="B26" s="6">
        <v>1.2080000000000001E-3</v>
      </c>
      <c r="C26" s="6">
        <v>43</v>
      </c>
      <c r="D26" s="6">
        <v>9.77E-4</v>
      </c>
    </row>
    <row r="27" spans="1:4" x14ac:dyDescent="0.25">
      <c r="A27" s="6">
        <v>44</v>
      </c>
      <c r="B27" s="6">
        <v>1.3270000000000001E-3</v>
      </c>
      <c r="C27" s="6">
        <v>44</v>
      </c>
      <c r="D27" s="6">
        <v>1.07E-3</v>
      </c>
    </row>
    <row r="28" spans="1:4" x14ac:dyDescent="0.25">
      <c r="A28" s="6">
        <v>45</v>
      </c>
      <c r="B28" s="6">
        <v>1.4649999999999999E-3</v>
      </c>
      <c r="C28" s="6">
        <v>45</v>
      </c>
      <c r="D28" s="6">
        <v>1.1739999999999999E-3</v>
      </c>
    </row>
    <row r="29" spans="1:4" x14ac:dyDescent="0.25">
      <c r="A29" s="6">
        <v>46</v>
      </c>
      <c r="B29" s="6">
        <v>1.622E-3</v>
      </c>
      <c r="C29" s="6">
        <v>46</v>
      </c>
      <c r="D29" s="6">
        <v>1.2880000000000001E-3</v>
      </c>
    </row>
    <row r="30" spans="1:4" x14ac:dyDescent="0.25">
      <c r="A30" s="6">
        <v>47</v>
      </c>
      <c r="B30" s="6">
        <v>1.802E-3</v>
      </c>
      <c r="C30" s="6">
        <v>47</v>
      </c>
      <c r="D30" s="6">
        <v>1.4159999999999999E-3</v>
      </c>
    </row>
    <row r="31" spans="1:4" x14ac:dyDescent="0.25">
      <c r="A31" s="6">
        <v>48</v>
      </c>
      <c r="B31" s="6">
        <v>2.0079999999999998E-3</v>
      </c>
      <c r="C31" s="6">
        <v>48</v>
      </c>
      <c r="D31" s="6">
        <v>1.5560000000000001E-3</v>
      </c>
    </row>
    <row r="32" spans="1:4" x14ac:dyDescent="0.25">
      <c r="A32" s="6">
        <v>49</v>
      </c>
      <c r="B32" s="6">
        <v>2.2409999999999999E-3</v>
      </c>
      <c r="C32" s="6">
        <v>49</v>
      </c>
      <c r="D32" s="6">
        <v>1.7129999999999999E-3</v>
      </c>
    </row>
    <row r="33" spans="1:4" x14ac:dyDescent="0.25">
      <c r="A33" s="6">
        <v>50</v>
      </c>
      <c r="B33" s="6">
        <v>2.5079999999999998E-3</v>
      </c>
      <c r="C33" s="6">
        <v>50</v>
      </c>
      <c r="D33" s="6">
        <v>1.8860000000000001E-3</v>
      </c>
    </row>
    <row r="34" spans="1:4" x14ac:dyDescent="0.25">
      <c r="A34" s="6">
        <v>51</v>
      </c>
      <c r="B34" s="6">
        <v>2.8089999999999999E-3</v>
      </c>
      <c r="C34" s="6">
        <v>51</v>
      </c>
      <c r="D34" s="6">
        <v>2.0769999999999999E-3</v>
      </c>
    </row>
    <row r="35" spans="1:4" x14ac:dyDescent="0.25">
      <c r="A35" s="6">
        <v>52</v>
      </c>
      <c r="B35" s="6">
        <v>3.1519999999999999E-3</v>
      </c>
      <c r="C35" s="6">
        <v>52</v>
      </c>
      <c r="D35" s="6">
        <v>2.2899999999999999E-3</v>
      </c>
    </row>
    <row r="36" spans="1:4" x14ac:dyDescent="0.25">
      <c r="A36" s="6">
        <v>53</v>
      </c>
      <c r="B36" s="6">
        <v>3.539E-3</v>
      </c>
      <c r="C36" s="6">
        <v>53</v>
      </c>
      <c r="D36" s="6">
        <v>2.5249999999999999E-3</v>
      </c>
    </row>
    <row r="37" spans="1:4" x14ac:dyDescent="0.25">
      <c r="A37" s="6">
        <v>54</v>
      </c>
      <c r="B37" s="6">
        <v>3.9760000000000004E-3</v>
      </c>
      <c r="C37" s="6">
        <v>54</v>
      </c>
      <c r="D37" s="6">
        <v>2.7859999999999998E-3</v>
      </c>
    </row>
    <row r="38" spans="1:4" x14ac:dyDescent="0.25">
      <c r="A38" s="6">
        <v>55</v>
      </c>
      <c r="B38" s="6">
        <v>4.4689999999999999E-3</v>
      </c>
      <c r="C38" s="6">
        <v>55</v>
      </c>
      <c r="D38" s="6">
        <v>3.075E-3</v>
      </c>
    </row>
    <row r="39" spans="1:4" x14ac:dyDescent="0.25">
      <c r="A39" s="6">
        <v>56</v>
      </c>
      <c r="B39" s="6">
        <v>5.025E-3</v>
      </c>
      <c r="C39" s="6">
        <v>56</v>
      </c>
      <c r="D39" s="6">
        <v>3.395E-3</v>
      </c>
    </row>
    <row r="40" spans="1:4" x14ac:dyDescent="0.25">
      <c r="A40" s="6">
        <v>57</v>
      </c>
      <c r="B40" s="6">
        <v>5.6499999999999996E-3</v>
      </c>
      <c r="C40" s="6">
        <v>57</v>
      </c>
      <c r="D40" s="6">
        <v>3.7490000000000002E-3</v>
      </c>
    </row>
    <row r="41" spans="1:4" x14ac:dyDescent="0.25">
      <c r="A41" s="6">
        <v>58</v>
      </c>
      <c r="B41" s="6">
        <v>6.352E-3</v>
      </c>
      <c r="C41" s="6">
        <v>58</v>
      </c>
      <c r="D41" s="6">
        <v>4.1419999999999998E-3</v>
      </c>
    </row>
    <row r="42" spans="1:4" x14ac:dyDescent="0.25">
      <c r="A42" s="6">
        <v>59</v>
      </c>
      <c r="B42" s="6">
        <v>7.1399999999999996E-3</v>
      </c>
      <c r="C42" s="6">
        <v>59</v>
      </c>
      <c r="D42" s="6">
        <v>4.5770000000000003E-3</v>
      </c>
    </row>
    <row r="43" spans="1:4" x14ac:dyDescent="0.25">
      <c r="A43" s="6">
        <v>60</v>
      </c>
      <c r="B43" s="6">
        <v>8.0219999999999996E-3</v>
      </c>
      <c r="C43" s="6">
        <v>60</v>
      </c>
      <c r="D43" s="6">
        <v>5.058E-3</v>
      </c>
    </row>
    <row r="44" spans="1:4" x14ac:dyDescent="0.25">
      <c r="A44" s="6">
        <v>61</v>
      </c>
      <c r="B44" s="6">
        <v>9.0089999999999996E-3</v>
      </c>
      <c r="C44" s="6">
        <v>61</v>
      </c>
      <c r="D44" s="6">
        <v>5.5919999999999997E-3</v>
      </c>
    </row>
    <row r="45" spans="1:4" x14ac:dyDescent="0.25">
      <c r="A45" s="6">
        <v>62</v>
      </c>
      <c r="B45" s="6">
        <v>1.0111999999999999E-2</v>
      </c>
      <c r="C45" s="6">
        <v>62</v>
      </c>
      <c r="D45" s="6">
        <v>6.1830000000000001E-3</v>
      </c>
    </row>
    <row r="46" spans="1:4" x14ac:dyDescent="0.25">
      <c r="A46" s="6">
        <v>63</v>
      </c>
      <c r="B46" s="6">
        <v>1.1344E-2</v>
      </c>
      <c r="C46" s="6">
        <v>63</v>
      </c>
      <c r="D46" s="6">
        <v>6.8380000000000003E-3</v>
      </c>
    </row>
    <row r="47" spans="1:4" x14ac:dyDescent="0.25">
      <c r="A47" s="6">
        <v>64</v>
      </c>
      <c r="B47" s="6">
        <v>1.2716E-2</v>
      </c>
      <c r="C47" s="6">
        <v>64</v>
      </c>
      <c r="D47" s="6">
        <v>7.5620000000000001E-3</v>
      </c>
    </row>
    <row r="48" spans="1:4" x14ac:dyDescent="0.25">
      <c r="A48" s="6">
        <v>65</v>
      </c>
      <c r="B48" s="6">
        <v>1.4243E-2</v>
      </c>
      <c r="C48" s="6">
        <v>65</v>
      </c>
      <c r="D48" s="6">
        <v>8.3649999999999992E-3</v>
      </c>
    </row>
    <row r="49" spans="1:4" x14ac:dyDescent="0.25">
      <c r="A49" s="6">
        <v>66</v>
      </c>
      <c r="B49" s="6">
        <v>1.5939999999999999E-2</v>
      </c>
      <c r="C49" s="6">
        <v>66</v>
      </c>
      <c r="D49" s="6">
        <v>9.2540000000000001E-3</v>
      </c>
    </row>
    <row r="50" spans="1:4" x14ac:dyDescent="0.25">
      <c r="A50" s="6">
        <v>67</v>
      </c>
      <c r="B50" s="6">
        <v>1.7824E-2</v>
      </c>
      <c r="C50" s="6">
        <v>67</v>
      </c>
      <c r="D50" s="6">
        <v>1.0238000000000001E-2</v>
      </c>
    </row>
    <row r="51" spans="1:4" x14ac:dyDescent="0.25">
      <c r="A51" s="6">
        <v>68</v>
      </c>
      <c r="B51" s="6">
        <v>1.9913E-2</v>
      </c>
      <c r="C51" s="6">
        <v>68</v>
      </c>
      <c r="D51" s="6">
        <v>1.1327E-2</v>
      </c>
    </row>
    <row r="52" spans="1:4" x14ac:dyDescent="0.25">
      <c r="A52" s="6">
        <v>69</v>
      </c>
      <c r="B52" s="6">
        <v>2.2225999999999999E-2</v>
      </c>
      <c r="C52" s="6">
        <v>69</v>
      </c>
      <c r="D52" s="6">
        <v>1.2533000000000001E-2</v>
      </c>
    </row>
    <row r="53" spans="1:4" x14ac:dyDescent="0.25">
      <c r="A53" s="6">
        <v>70</v>
      </c>
      <c r="B53" s="6">
        <v>2.4782999999999999E-2</v>
      </c>
      <c r="C53" s="6">
        <v>70</v>
      </c>
      <c r="D53" s="6">
        <v>1.3867000000000001E-2</v>
      </c>
    </row>
    <row r="54" spans="1:4" x14ac:dyDescent="0.25">
      <c r="A54" s="6">
        <v>71</v>
      </c>
      <c r="B54" s="6">
        <v>2.7605999999999999E-2</v>
      </c>
      <c r="C54" s="6">
        <v>71</v>
      </c>
      <c r="D54" s="6">
        <v>1.5343000000000001E-2</v>
      </c>
    </row>
    <row r="55" spans="1:4" x14ac:dyDescent="0.25">
      <c r="A55" s="6">
        <v>72</v>
      </c>
      <c r="B55" s="6">
        <v>3.0717999999999999E-2</v>
      </c>
      <c r="C55" s="6">
        <v>72</v>
      </c>
      <c r="D55" s="6">
        <v>1.6976999999999999E-2</v>
      </c>
    </row>
    <row r="56" spans="1:4" x14ac:dyDescent="0.25">
      <c r="A56" s="6">
        <v>73</v>
      </c>
      <c r="B56" s="6">
        <v>3.4144000000000001E-2</v>
      </c>
      <c r="C56" s="6">
        <v>73</v>
      </c>
      <c r="D56" s="6">
        <v>1.8783999999999999E-2</v>
      </c>
    </row>
    <row r="57" spans="1:4" x14ac:dyDescent="0.25">
      <c r="A57" s="6">
        <v>74</v>
      </c>
      <c r="B57" s="6">
        <v>3.7911E-2</v>
      </c>
      <c r="C57" s="6">
        <v>74</v>
      </c>
      <c r="D57" s="6">
        <v>2.0782999999999999E-2</v>
      </c>
    </row>
    <row r="58" spans="1:4" x14ac:dyDescent="0.25">
      <c r="A58" s="6">
        <v>75</v>
      </c>
      <c r="B58" s="6">
        <v>4.2046E-2</v>
      </c>
      <c r="C58" s="6">
        <v>75</v>
      </c>
      <c r="D58" s="6">
        <v>2.2994000000000001E-2</v>
      </c>
    </row>
    <row r="59" spans="1:4" x14ac:dyDescent="0.25">
      <c r="A59" s="6">
        <v>76</v>
      </c>
      <c r="B59" s="6">
        <v>4.6578000000000001E-2</v>
      </c>
      <c r="C59" s="6">
        <v>76</v>
      </c>
      <c r="D59" s="6">
        <v>2.5437999999999999E-2</v>
      </c>
    </row>
    <row r="60" spans="1:4" x14ac:dyDescent="0.25">
      <c r="A60" s="6">
        <v>77</v>
      </c>
      <c r="B60" s="6">
        <v>5.1538E-2</v>
      </c>
      <c r="C60" s="6">
        <v>77</v>
      </c>
      <c r="D60" s="6">
        <v>2.8138E-2</v>
      </c>
    </row>
    <row r="61" spans="1:4" x14ac:dyDescent="0.25">
      <c r="A61" s="6">
        <v>78</v>
      </c>
      <c r="B61" s="6">
        <v>5.6956E-2</v>
      </c>
      <c r="C61" s="6">
        <v>78</v>
      </c>
      <c r="D61" s="6">
        <v>3.1123000000000001E-2</v>
      </c>
    </row>
    <row r="62" spans="1:4" x14ac:dyDescent="0.25">
      <c r="A62" s="6">
        <v>79</v>
      </c>
      <c r="B62" s="6">
        <v>6.2867000000000006E-2</v>
      </c>
      <c r="C62" s="6">
        <v>79</v>
      </c>
      <c r="D62" s="6">
        <v>3.4418999999999998E-2</v>
      </c>
    </row>
    <row r="63" spans="1:4" x14ac:dyDescent="0.25">
      <c r="A63" s="6">
        <v>80</v>
      </c>
      <c r="B63" s="6">
        <v>6.9303000000000003E-2</v>
      </c>
      <c r="C63" s="6">
        <v>80</v>
      </c>
      <c r="D63" s="6">
        <v>3.8059000000000003E-2</v>
      </c>
    </row>
    <row r="64" spans="1:4" x14ac:dyDescent="0.25">
      <c r="A64" s="6">
        <v>81</v>
      </c>
      <c r="B64" s="6">
        <v>7.6300000000000007E-2</v>
      </c>
      <c r="C64" s="6">
        <v>81</v>
      </c>
      <c r="D64" s="6">
        <v>4.2077000000000003E-2</v>
      </c>
    </row>
    <row r="65" spans="1:4" x14ac:dyDescent="0.25">
      <c r="A65" s="6">
        <v>82</v>
      </c>
      <c r="B65" s="6">
        <v>8.3892999999999995E-2</v>
      </c>
      <c r="C65" s="6">
        <v>82</v>
      </c>
      <c r="D65" s="6">
        <v>4.6510000000000003E-2</v>
      </c>
    </row>
    <row r="66" spans="1:4" x14ac:dyDescent="0.25">
      <c r="A66" s="6">
        <v>83</v>
      </c>
      <c r="B66" s="6">
        <v>9.2117000000000004E-2</v>
      </c>
      <c r="C66" s="6">
        <v>83</v>
      </c>
      <c r="D66" s="6">
        <v>5.1397999999999999E-2</v>
      </c>
    </row>
    <row r="67" spans="1:4" x14ac:dyDescent="0.25">
      <c r="A67" s="6">
        <v>84</v>
      </c>
      <c r="B67" s="6">
        <v>0.101007</v>
      </c>
      <c r="C67" s="6">
        <v>84</v>
      </c>
      <c r="D67" s="6">
        <v>5.6786000000000003E-2</v>
      </c>
    </row>
    <row r="68" spans="1:4" x14ac:dyDescent="0.25">
      <c r="A68" s="6">
        <v>85</v>
      </c>
      <c r="B68" s="6">
        <v>0.1106</v>
      </c>
      <c r="C68" s="6">
        <v>85</v>
      </c>
      <c r="D68" s="6">
        <v>6.2720999999999999E-2</v>
      </c>
    </row>
    <row r="69" spans="1:4" x14ac:dyDescent="0.25">
      <c r="A69" s="6">
        <v>86</v>
      </c>
      <c r="B69" s="6">
        <v>0.12092899999999999</v>
      </c>
      <c r="C69" s="6">
        <v>86</v>
      </c>
      <c r="D69" s="6">
        <v>6.9253999999999996E-2</v>
      </c>
    </row>
    <row r="70" spans="1:4" x14ac:dyDescent="0.25">
      <c r="A70" s="6">
        <v>87</v>
      </c>
      <c r="B70" s="6">
        <v>0.13202800000000001</v>
      </c>
      <c r="C70" s="6">
        <v>87</v>
      </c>
      <c r="D70" s="6">
        <v>7.6440999999999995E-2</v>
      </c>
    </row>
    <row r="71" spans="1:4" x14ac:dyDescent="0.25">
      <c r="A71" s="6">
        <v>88</v>
      </c>
      <c r="B71" s="6">
        <v>0.143929</v>
      </c>
      <c r="C71" s="6">
        <v>88</v>
      </c>
      <c r="D71" s="6">
        <v>8.4339999999999998E-2</v>
      </c>
    </row>
    <row r="72" spans="1:4" x14ac:dyDescent="0.25">
      <c r="A72" s="6">
        <v>89</v>
      </c>
      <c r="B72" s="6">
        <v>0.15665999999999999</v>
      </c>
      <c r="C72" s="6">
        <v>89</v>
      </c>
      <c r="D72" s="6">
        <v>9.3016000000000001E-2</v>
      </c>
    </row>
    <row r="73" spans="1:4" x14ac:dyDescent="0.25">
      <c r="A73" s="6">
        <v>90</v>
      </c>
      <c r="B73" s="6">
        <v>0.17024700000000001</v>
      </c>
      <c r="C73" s="6">
        <v>90</v>
      </c>
      <c r="D73" s="6">
        <v>0.102533</v>
      </c>
    </row>
    <row r="74" spans="1:4" x14ac:dyDescent="0.25">
      <c r="A74" s="6">
        <v>91</v>
      </c>
      <c r="B74" s="6">
        <v>0.18471399999999999</v>
      </c>
      <c r="C74" s="6">
        <v>91</v>
      </c>
      <c r="D74" s="6">
        <v>0.11296399999999999</v>
      </c>
    </row>
    <row r="75" spans="1:4" x14ac:dyDescent="0.25">
      <c r="A75" s="6">
        <v>92</v>
      </c>
      <c r="B75" s="6">
        <v>0.20007900000000001</v>
      </c>
      <c r="C75" s="6">
        <v>92</v>
      </c>
      <c r="D75" s="6">
        <v>0.12438100000000001</v>
      </c>
    </row>
    <row r="76" spans="1:4" x14ac:dyDescent="0.25">
      <c r="A76" s="6">
        <v>93</v>
      </c>
      <c r="B76" s="6">
        <v>0.21635399999999999</v>
      </c>
      <c r="C76" s="6">
        <v>93</v>
      </c>
      <c r="D76" s="6">
        <v>0.13686200000000001</v>
      </c>
    </row>
    <row r="77" spans="1:4" x14ac:dyDescent="0.25">
      <c r="A77" s="6">
        <v>94</v>
      </c>
      <c r="B77" s="6">
        <v>0.23354800000000001</v>
      </c>
      <c r="C77" s="6">
        <v>94</v>
      </c>
      <c r="D77" s="6">
        <v>0.15048600000000001</v>
      </c>
    </row>
    <row r="78" spans="1:4" x14ac:dyDescent="0.25">
      <c r="A78" s="6">
        <v>95</v>
      </c>
      <c r="B78" s="6">
        <v>0.251662</v>
      </c>
      <c r="C78" s="6">
        <v>95</v>
      </c>
      <c r="D78" s="6">
        <v>0.16533200000000001</v>
      </c>
    </row>
    <row r="79" spans="1:4" x14ac:dyDescent="0.25">
      <c r="A79" s="6">
        <v>96</v>
      </c>
      <c r="B79" s="6">
        <v>0.27068799999999998</v>
      </c>
      <c r="C79" s="6">
        <v>96</v>
      </c>
      <c r="D79" s="6">
        <v>0.181481</v>
      </c>
    </row>
    <row r="80" spans="1:4" x14ac:dyDescent="0.25">
      <c r="A80" s="6">
        <v>97</v>
      </c>
      <c r="B80" s="6">
        <v>0.29061300000000001</v>
      </c>
      <c r="C80" s="6">
        <v>97</v>
      </c>
      <c r="D80" s="6">
        <v>0.19901199999999999</v>
      </c>
    </row>
    <row r="81" spans="1:4" x14ac:dyDescent="0.25">
      <c r="A81" s="6">
        <v>98</v>
      </c>
      <c r="B81" s="6">
        <v>0.31141400000000002</v>
      </c>
      <c r="C81" s="6">
        <v>98</v>
      </c>
      <c r="D81" s="6">
        <v>0.218002</v>
      </c>
    </row>
    <row r="82" spans="1:4" x14ac:dyDescent="0.25">
      <c r="A82" s="6">
        <v>99</v>
      </c>
      <c r="B82" s="6">
        <v>0.33305800000000002</v>
      </c>
      <c r="C82" s="6">
        <v>99</v>
      </c>
      <c r="D82" s="6">
        <v>0.23852000000000001</v>
      </c>
    </row>
    <row r="83" spans="1:4" x14ac:dyDescent="0.25">
      <c r="A83" s="6">
        <v>100</v>
      </c>
      <c r="B83" s="6">
        <v>0.35550500000000002</v>
      </c>
      <c r="C83" s="6">
        <v>100</v>
      </c>
      <c r="D83" s="6">
        <v>0.26062999999999997</v>
      </c>
    </row>
    <row r="84" spans="1:4" x14ac:dyDescent="0.25">
      <c r="A84" s="6">
        <v>101</v>
      </c>
      <c r="B84" s="6">
        <v>0.37870199999999998</v>
      </c>
      <c r="C84" s="6">
        <v>101</v>
      </c>
      <c r="D84" s="6">
        <v>0.284383</v>
      </c>
    </row>
    <row r="85" spans="1:4" x14ac:dyDescent="0.25">
      <c r="A85" s="6">
        <v>102</v>
      </c>
      <c r="B85" s="6">
        <v>0.402588</v>
      </c>
      <c r="C85" s="6">
        <v>102</v>
      </c>
      <c r="D85" s="6">
        <v>0.30981399999999998</v>
      </c>
    </row>
    <row r="86" spans="1:4" x14ac:dyDescent="0.25">
      <c r="A86" s="6">
        <v>103</v>
      </c>
      <c r="B86" s="6">
        <v>0.42709000000000003</v>
      </c>
      <c r="C86" s="6">
        <v>103</v>
      </c>
      <c r="D86" s="6">
        <v>0.33694299999999999</v>
      </c>
    </row>
    <row r="87" spans="1:4" x14ac:dyDescent="0.25">
      <c r="A87" s="6">
        <v>104</v>
      </c>
      <c r="B87" s="6">
        <v>0.452127</v>
      </c>
      <c r="C87" s="6">
        <v>104</v>
      </c>
      <c r="D87" s="6">
        <v>0.36576199999999998</v>
      </c>
    </row>
    <row r="88" spans="1:4" x14ac:dyDescent="0.25">
      <c r="A88" s="6">
        <v>105</v>
      </c>
      <c r="B88" s="6">
        <v>0.47760799999999998</v>
      </c>
      <c r="C88" s="6">
        <v>105</v>
      </c>
      <c r="D88" s="6">
        <v>0.39623799999999998</v>
      </c>
    </row>
    <row r="89" spans="1:4" x14ac:dyDescent="0.25">
      <c r="A89" s="6">
        <v>106</v>
      </c>
      <c r="B89" s="6">
        <v>0.50343199999999999</v>
      </c>
      <c r="C89" s="6">
        <v>106</v>
      </c>
      <c r="D89" s="6">
        <v>0.42830299999999999</v>
      </c>
    </row>
    <row r="90" spans="1:4" x14ac:dyDescent="0.25">
      <c r="A90" s="6">
        <v>107</v>
      </c>
      <c r="B90" s="6">
        <v>0.52949299999999999</v>
      </c>
      <c r="C90" s="6">
        <v>107</v>
      </c>
      <c r="D90" s="6">
        <v>0.46185100000000001</v>
      </c>
    </row>
    <row r="91" spans="1:4" x14ac:dyDescent="0.25">
      <c r="A91" s="6">
        <v>108</v>
      </c>
      <c r="B91" s="6">
        <v>0.555674</v>
      </c>
      <c r="C91" s="6">
        <v>108</v>
      </c>
      <c r="D91" s="6">
        <v>0.49673400000000001</v>
      </c>
    </row>
    <row r="92" spans="1:4" x14ac:dyDescent="0.25">
      <c r="A92" s="6">
        <v>109</v>
      </c>
      <c r="B92" s="6">
        <v>0.58185699999999996</v>
      </c>
      <c r="C92" s="6">
        <v>109</v>
      </c>
      <c r="D92" s="6">
        <v>0.53275600000000001</v>
      </c>
    </row>
    <row r="93" spans="1:4" x14ac:dyDescent="0.25">
      <c r="A93" s="6">
        <v>110</v>
      </c>
      <c r="B93" s="6">
        <v>0.60791799999999996</v>
      </c>
      <c r="C93" s="6">
        <v>110</v>
      </c>
      <c r="D93" s="6">
        <v>0.56967000000000001</v>
      </c>
    </row>
    <row r="94" spans="1:4" x14ac:dyDescent="0.25">
      <c r="A94" s="6">
        <v>111</v>
      </c>
      <c r="B94" s="6">
        <v>0.63373100000000004</v>
      </c>
      <c r="C94" s="6">
        <v>111</v>
      </c>
      <c r="D94" s="6">
        <v>0.60718099999999997</v>
      </c>
    </row>
    <row r="95" spans="1:4" x14ac:dyDescent="0.25">
      <c r="A95" s="6">
        <v>112</v>
      </c>
      <c r="B95" s="6">
        <v>0.65917099999999995</v>
      </c>
      <c r="C95" s="6">
        <v>112</v>
      </c>
      <c r="D95" s="6">
        <v>0.64494200000000002</v>
      </c>
    </row>
    <row r="96" spans="1:4" x14ac:dyDescent="0.25">
      <c r="A96" s="6">
        <v>113</v>
      </c>
      <c r="B96" s="6">
        <v>0.684114</v>
      </c>
      <c r="C96" s="6">
        <v>113</v>
      </c>
      <c r="D96" s="6">
        <v>0.68256300000000003</v>
      </c>
    </row>
    <row r="97" spans="1:4" x14ac:dyDescent="0.25">
      <c r="A97" s="6">
        <v>114</v>
      </c>
      <c r="B97" s="6">
        <v>0.70844200000000002</v>
      </c>
      <c r="C97" s="6">
        <v>114</v>
      </c>
      <c r="D97" s="6">
        <v>0.71961600000000003</v>
      </c>
    </row>
    <row r="98" spans="1:4" x14ac:dyDescent="0.25">
      <c r="A98" s="6">
        <v>115</v>
      </c>
      <c r="B98" s="6">
        <v>0.73204199999999997</v>
      </c>
      <c r="C98" s="6">
        <v>115</v>
      </c>
      <c r="D98" s="6">
        <v>0.75564699999999996</v>
      </c>
    </row>
    <row r="99" spans="1:4" x14ac:dyDescent="0.25">
      <c r="A99" s="6">
        <v>116</v>
      </c>
      <c r="B99" s="6">
        <v>0.75480899999999995</v>
      </c>
      <c r="C99" s="6">
        <v>116</v>
      </c>
      <c r="D99" s="6">
        <v>0.79019200000000001</v>
      </c>
    </row>
    <row r="100" spans="1:4" x14ac:dyDescent="0.25">
      <c r="A100" s="6">
        <v>117</v>
      </c>
      <c r="B100" s="6">
        <v>0.77664800000000001</v>
      </c>
      <c r="C100" s="6">
        <v>117</v>
      </c>
      <c r="D100" s="6">
        <v>0.82279999999999998</v>
      </c>
    </row>
    <row r="101" spans="1:4" x14ac:dyDescent="0.25">
      <c r="A101" s="6">
        <v>118</v>
      </c>
      <c r="B101" s="6">
        <v>0.79747699999999999</v>
      </c>
      <c r="C101" s="6">
        <v>118</v>
      </c>
      <c r="D101" s="6">
        <v>0.85304999999999997</v>
      </c>
    </row>
    <row r="102" spans="1:4" x14ac:dyDescent="0.25">
      <c r="A102" s="6">
        <v>119</v>
      </c>
      <c r="B102" s="6">
        <v>0.81722499999999998</v>
      </c>
      <c r="C102" s="6">
        <v>119</v>
      </c>
      <c r="D102" s="6">
        <v>0.880579</v>
      </c>
    </row>
    <row r="103" spans="1:4" x14ac:dyDescent="0.25">
      <c r="A103" s="6">
        <v>120</v>
      </c>
      <c r="B103" s="6">
        <v>1</v>
      </c>
      <c r="C103" s="6">
        <v>120</v>
      </c>
      <c r="D103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0640-5FED-4222-8FAD-D68C80951F0D}">
  <dimension ref="A1:B3"/>
  <sheetViews>
    <sheetView workbookViewId="0">
      <selection activeCell="B1" sqref="B1"/>
    </sheetView>
  </sheetViews>
  <sheetFormatPr defaultRowHeight="15" x14ac:dyDescent="0.25"/>
  <cols>
    <col min="2" max="2" width="11.85546875" bestFit="1" customWidth="1"/>
  </cols>
  <sheetData>
    <row r="1" spans="1:2" x14ac:dyDescent="0.25">
      <c r="A1" s="6" t="s">
        <v>12</v>
      </c>
      <c r="B1" s="6" t="s">
        <v>49</v>
      </c>
    </row>
    <row r="2" spans="1:2" x14ac:dyDescent="0.25">
      <c r="A2" s="6" t="s">
        <v>4</v>
      </c>
      <c r="B2" s="6" t="s">
        <v>28</v>
      </c>
    </row>
    <row r="3" spans="1:2" x14ac:dyDescent="0.25">
      <c r="A3" s="6" t="s">
        <v>7</v>
      </c>
      <c r="B3" s="6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8696-BC93-4ED6-8DE6-5427361D67E7}">
  <dimension ref="A1:E5"/>
  <sheetViews>
    <sheetView workbookViewId="0">
      <selection activeCell="E10" sqref="E10"/>
    </sheetView>
  </sheetViews>
  <sheetFormatPr defaultRowHeight="15" x14ac:dyDescent="0.25"/>
  <cols>
    <col min="1" max="1" width="16" bestFit="1" customWidth="1"/>
    <col min="2" max="2" width="13.7109375" bestFit="1" customWidth="1"/>
    <col min="3" max="3" width="7.85546875" bestFit="1" customWidth="1"/>
    <col min="4" max="4" width="11" bestFit="1" customWidth="1"/>
    <col min="5" max="5" width="14.7109375" bestFit="1" customWidth="1"/>
  </cols>
  <sheetData>
    <row r="1" spans="1:5" x14ac:dyDescent="0.25">
      <c r="A1" s="6" t="s">
        <v>19</v>
      </c>
      <c r="B1" s="6" t="s">
        <v>20</v>
      </c>
      <c r="C1" s="6" t="s">
        <v>21</v>
      </c>
      <c r="D1" t="s">
        <v>22</v>
      </c>
      <c r="E1" t="s">
        <v>23</v>
      </c>
    </row>
    <row r="2" spans="1:5" x14ac:dyDescent="0.25">
      <c r="A2" s="6" t="s">
        <v>15</v>
      </c>
      <c r="B2" s="6" t="s">
        <v>17</v>
      </c>
      <c r="C2" s="22">
        <f>E2*D2</f>
        <v>1.2</v>
      </c>
      <c r="D2" s="20">
        <v>1</v>
      </c>
      <c r="E2" s="20">
        <v>1.2</v>
      </c>
    </row>
    <row r="3" spans="1:5" x14ac:dyDescent="0.25">
      <c r="A3" s="6" t="s">
        <v>15</v>
      </c>
      <c r="B3" s="6" t="s">
        <v>18</v>
      </c>
      <c r="C3" s="22">
        <f t="shared" ref="C3:C5" si="0">E3*D3</f>
        <v>1</v>
      </c>
      <c r="D3" s="20">
        <v>1</v>
      </c>
      <c r="E3" s="20">
        <v>1</v>
      </c>
    </row>
    <row r="4" spans="1:5" x14ac:dyDescent="0.25">
      <c r="A4" s="6" t="s">
        <v>16</v>
      </c>
      <c r="B4" s="6" t="s">
        <v>17</v>
      </c>
      <c r="C4" s="22">
        <f t="shared" si="0"/>
        <v>1.32</v>
      </c>
      <c r="D4" s="20">
        <v>1.1000000000000001</v>
      </c>
      <c r="E4" s="20">
        <v>1.2</v>
      </c>
    </row>
    <row r="5" spans="1:5" x14ac:dyDescent="0.25">
      <c r="A5" s="6" t="s">
        <v>16</v>
      </c>
      <c r="B5" s="6" t="s">
        <v>18</v>
      </c>
      <c r="C5" s="22">
        <f t="shared" si="0"/>
        <v>1.1000000000000001</v>
      </c>
      <c r="D5" s="20">
        <v>1.1000000000000001</v>
      </c>
      <c r="E5" s="2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A9E8-7919-4C91-8AAD-A8FAB144A2EF}">
  <sheetPr codeName="Sheet6"/>
  <dimension ref="A1:B26"/>
  <sheetViews>
    <sheetView workbookViewId="0">
      <selection sqref="A1:B3"/>
    </sheetView>
  </sheetViews>
  <sheetFormatPr defaultRowHeight="15" x14ac:dyDescent="0.25"/>
  <sheetData>
    <row r="1" spans="1:2" x14ac:dyDescent="0.25">
      <c r="A1" s="6" t="s">
        <v>9</v>
      </c>
      <c r="B1" s="6" t="s">
        <v>10</v>
      </c>
    </row>
    <row r="2" spans="1:2" x14ac:dyDescent="0.25">
      <c r="A2" s="6">
        <v>1</v>
      </c>
      <c r="B2" s="8">
        <v>1.4999999999999999E-2</v>
      </c>
    </row>
    <row r="3" spans="1:2" x14ac:dyDescent="0.25">
      <c r="A3" s="6">
        <v>2</v>
      </c>
      <c r="B3" s="8">
        <v>1.7000000000000001E-2</v>
      </c>
    </row>
    <row r="4" spans="1:2" x14ac:dyDescent="0.25">
      <c r="A4" s="6">
        <v>3</v>
      </c>
      <c r="B4" s="8">
        <v>1.8000000000000002E-2</v>
      </c>
    </row>
    <row r="5" spans="1:2" x14ac:dyDescent="0.25">
      <c r="A5" s="6">
        <v>4</v>
      </c>
      <c r="B5" s="8">
        <v>1.9000000000000003E-2</v>
      </c>
    </row>
    <row r="6" spans="1:2" x14ac:dyDescent="0.25">
      <c r="A6" s="6">
        <v>5</v>
      </c>
      <c r="B6" s="8">
        <v>0.02</v>
      </c>
    </row>
    <row r="7" spans="1:2" x14ac:dyDescent="0.25">
      <c r="A7" s="6">
        <v>6</v>
      </c>
      <c r="B7" s="8">
        <v>2.1000000000000001E-2</v>
      </c>
    </row>
    <row r="8" spans="1:2" x14ac:dyDescent="0.25">
      <c r="A8" s="6">
        <v>7</v>
      </c>
      <c r="B8" s="8">
        <v>2.1000000000000001E-2</v>
      </c>
    </row>
    <row r="9" spans="1:2" x14ac:dyDescent="0.25">
      <c r="A9" s="6">
        <v>8</v>
      </c>
      <c r="B9" s="8">
        <v>2.1999999999999999E-2</v>
      </c>
    </row>
    <row r="10" spans="1:2" x14ac:dyDescent="0.25">
      <c r="A10" s="6">
        <v>9</v>
      </c>
      <c r="B10" s="8">
        <v>2.3E-2</v>
      </c>
    </row>
    <row r="11" spans="1:2" x14ac:dyDescent="0.25">
      <c r="A11" s="6">
        <v>10</v>
      </c>
      <c r="B11" s="8">
        <v>2.3E-2</v>
      </c>
    </row>
    <row r="12" spans="1:2" x14ac:dyDescent="0.25">
      <c r="A12" s="6">
        <v>11</v>
      </c>
      <c r="B12" s="8">
        <v>2.4E-2</v>
      </c>
    </row>
    <row r="13" spans="1:2" x14ac:dyDescent="0.25">
      <c r="A13" s="6">
        <v>12</v>
      </c>
      <c r="B13" s="8">
        <v>2.5000000000000001E-2</v>
      </c>
    </row>
    <row r="14" spans="1:2" x14ac:dyDescent="0.25">
      <c r="A14" s="6">
        <v>13</v>
      </c>
      <c r="B14" s="8">
        <v>2.5000000000000001E-2</v>
      </c>
    </row>
    <row r="15" spans="1:2" x14ac:dyDescent="0.25">
      <c r="A15" s="6">
        <v>14</v>
      </c>
      <c r="B15" s="8">
        <v>2.5000000000000001E-2</v>
      </c>
    </row>
    <row r="16" spans="1:2" x14ac:dyDescent="0.25">
      <c r="A16" s="6">
        <v>15</v>
      </c>
      <c r="B16" s="8">
        <v>2.6000000000000002E-2</v>
      </c>
    </row>
    <row r="17" spans="1:2" x14ac:dyDescent="0.25">
      <c r="A17" s="6">
        <v>16</v>
      </c>
      <c r="B17" s="8">
        <v>2.6000000000000002E-2</v>
      </c>
    </row>
    <row r="18" spans="1:2" x14ac:dyDescent="0.25">
      <c r="A18" s="6">
        <v>17</v>
      </c>
      <c r="B18" s="8">
        <v>2.6000000000000002E-2</v>
      </c>
    </row>
    <row r="19" spans="1:2" x14ac:dyDescent="0.25">
      <c r="A19" s="6">
        <v>18</v>
      </c>
      <c r="B19" s="8">
        <v>2.6000000000000002E-2</v>
      </c>
    </row>
    <row r="20" spans="1:2" x14ac:dyDescent="0.25">
      <c r="A20" s="6">
        <v>19</v>
      </c>
      <c r="B20" s="8">
        <v>2.6000000000000002E-2</v>
      </c>
    </row>
    <row r="21" spans="1:2" x14ac:dyDescent="0.25">
      <c r="A21" s="6">
        <v>20</v>
      </c>
      <c r="B21" s="8">
        <v>2.7000000000000003E-2</v>
      </c>
    </row>
    <row r="22" spans="1:2" x14ac:dyDescent="0.25">
      <c r="A22" s="6">
        <v>21</v>
      </c>
      <c r="B22" s="8">
        <v>2.7000000000000003E-2</v>
      </c>
    </row>
    <row r="23" spans="1:2" x14ac:dyDescent="0.25">
      <c r="A23" s="6">
        <v>22</v>
      </c>
      <c r="B23" s="8">
        <v>2.7000000000000003E-2</v>
      </c>
    </row>
    <row r="24" spans="1:2" x14ac:dyDescent="0.25">
      <c r="A24" s="6">
        <v>23</v>
      </c>
      <c r="B24" s="8">
        <v>2.7000000000000003E-2</v>
      </c>
    </row>
    <row r="25" spans="1:2" x14ac:dyDescent="0.25">
      <c r="A25" s="6">
        <v>24</v>
      </c>
      <c r="B25" s="8">
        <v>2.7000000000000003E-2</v>
      </c>
    </row>
    <row r="26" spans="1:2" x14ac:dyDescent="0.25">
      <c r="A26" s="6">
        <v>25</v>
      </c>
      <c r="B26" s="8">
        <v>2.7000000000000003E-2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Documentation</vt:lpstr>
      <vt:lpstr>Input &gt;&gt;</vt:lpstr>
      <vt:lpstr>PolicyData</vt:lpstr>
      <vt:lpstr>Parameters &gt;&gt;</vt:lpstr>
      <vt:lpstr>Mort</vt:lpstr>
      <vt:lpstr>MortBasis</vt:lpstr>
      <vt:lpstr>MortLoading</vt:lpstr>
      <vt:lpstr>IntRate</vt:lpstr>
      <vt:lpstr>IntRate</vt:lpstr>
      <vt:lpstr>MortBasis</vt:lpstr>
      <vt:lpstr>MortFemale</vt:lpstr>
      <vt:lpstr>MortLoading</vt:lpstr>
      <vt:lpstr>MortMale</vt:lpstr>
      <vt:lpstr>Poldata1</vt:lpstr>
      <vt:lpstr>PolicyData</vt:lpstr>
      <vt:lpstr>PolicyData_Correct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Santitamrongvit</dc:creator>
  <cp:lastModifiedBy>Clare Stone</cp:lastModifiedBy>
  <dcterms:created xsi:type="dcterms:W3CDTF">2023-07-06T13:07:19Z</dcterms:created>
  <dcterms:modified xsi:type="dcterms:W3CDTF">2026-03-24T10:10:04Z</dcterms:modified>
</cp:coreProperties>
</file>